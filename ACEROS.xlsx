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Escritorio\PRUEBA MACROS\"/>
    </mc:Choice>
  </mc:AlternateContent>
  <xr:revisionPtr revIDLastSave="0" documentId="8_{579C5795-55E9-453A-B15F-2E50C4A7832E}" xr6:coauthVersionLast="47" xr6:coauthVersionMax="47" xr10:uidLastSave="{00000000-0000-0000-0000-000000000000}"/>
  <bookViews>
    <workbookView xWindow="-120" yWindow="-120" windowWidth="29040" windowHeight="15720" xr2:uid="{23E6005C-D850-410C-8E8A-22784FC56A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3" i="1" l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S4" i="1"/>
  <c r="R4" i="1"/>
  <c r="O4" i="1"/>
  <c r="N4" i="1"/>
  <c r="M4" i="1"/>
  <c r="L4" i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Pyroz</author>
  </authors>
  <commentList>
    <comment ref="C4" authorId="0" shapeId="0" xr:uid="{2CE1782F-C8FF-415A-8081-144C2D6C7718}">
      <text/>
    </comment>
  </commentList>
</comments>
</file>

<file path=xl/sharedStrings.xml><?xml version="1.0" encoding="utf-8"?>
<sst xmlns="http://schemas.openxmlformats.org/spreadsheetml/2006/main" count="603" uniqueCount="83">
  <si>
    <t>ACERO</t>
  </si>
  <si>
    <t>DESIGNACIÓN</t>
  </si>
  <si>
    <t>PROPIEDADES MECANICAS</t>
  </si>
  <si>
    <t>DISPONIBILIDAD</t>
  </si>
  <si>
    <t>ASTM</t>
  </si>
  <si>
    <t>NMX</t>
  </si>
  <si>
    <t>Fy</t>
  </si>
  <si>
    <t>Fu</t>
  </si>
  <si>
    <t>PLACA</t>
  </si>
  <si>
    <t>IS</t>
  </si>
  <si>
    <t>IC</t>
  </si>
  <si>
    <t>OS</t>
  </si>
  <si>
    <t>CF</t>
  </si>
  <si>
    <t>ZF</t>
  </si>
  <si>
    <t xml:space="preserve"> </t>
  </si>
  <si>
    <t>CARBÓN</t>
  </si>
  <si>
    <t>B-255</t>
  </si>
  <si>
    <t>A-36</t>
  </si>
  <si>
    <t>SI</t>
  </si>
  <si>
    <t>VERIFICAR</t>
  </si>
  <si>
    <t>-</t>
  </si>
  <si>
    <t>B-177-Gr. B</t>
  </si>
  <si>
    <t>A-53-Gr. B</t>
  </si>
  <si>
    <t>B-199-Gr. B</t>
  </si>
  <si>
    <t>A-500-Gr. B</t>
  </si>
  <si>
    <t>B-199-Gr. B'</t>
  </si>
  <si>
    <t>A-500-Gr. B'</t>
  </si>
  <si>
    <t>B-199-Gr. C</t>
  </si>
  <si>
    <t>A-500-Gr. C</t>
  </si>
  <si>
    <t>B-199-Gr. C'</t>
  </si>
  <si>
    <t>A-500-Gr. C'</t>
  </si>
  <si>
    <t>B-200-Gr. A</t>
  </si>
  <si>
    <t>A-501-Gr. A</t>
  </si>
  <si>
    <t>B-200-Gr. B</t>
  </si>
  <si>
    <t>A-501-Gr. B</t>
  </si>
  <si>
    <t>B-099-Gr. 50</t>
  </si>
  <si>
    <t>A-529-Gr. 50</t>
  </si>
  <si>
    <t>B-099-Gr. 55</t>
  </si>
  <si>
    <t>A-529-Gr. 55</t>
  </si>
  <si>
    <t>ALTA RESISTENCIA Y BAJA ALEACIÓN</t>
  </si>
  <si>
    <t>B-284-Gr. 42</t>
  </si>
  <si>
    <t>A-572-Gr. 42</t>
  </si>
  <si>
    <t>B-284-Gr. 50</t>
  </si>
  <si>
    <t>A-572-Gr. 50</t>
  </si>
  <si>
    <t>B-284-Gr. 55</t>
  </si>
  <si>
    <t>A-572-Gr. 55</t>
  </si>
  <si>
    <t>B-284-Gr. 60</t>
  </si>
  <si>
    <t>A-572-Gr. 60</t>
  </si>
  <si>
    <t>B-284-Gr. 65</t>
  </si>
  <si>
    <t>A-572-Gr. 65</t>
  </si>
  <si>
    <t>A-913-Gr. 50</t>
  </si>
  <si>
    <t>A-913-Gr. 60</t>
  </si>
  <si>
    <t>A-913-Gr. 65</t>
  </si>
  <si>
    <t>A-913-Gr. 70</t>
  </si>
  <si>
    <t>A-992</t>
  </si>
  <si>
    <t>A-1008-Gr. 50</t>
  </si>
  <si>
    <t>A-1008-Gr. 60</t>
  </si>
  <si>
    <t>B-248-Gr. 60</t>
  </si>
  <si>
    <t>A-1011-Gr. 60</t>
  </si>
  <si>
    <t>B-248-Gr. 70</t>
  </si>
  <si>
    <t>A-1011-Gr. 70</t>
  </si>
  <si>
    <t>A-1018-Gr. 70</t>
  </si>
  <si>
    <t>B-248-Gr. 80</t>
  </si>
  <si>
    <t>A-1018-Gr. 80</t>
  </si>
  <si>
    <r>
      <t xml:space="preserve">A-618-Gr. </t>
    </r>
    <r>
      <rPr>
        <b/>
        <sz val="10"/>
        <color rgb="FFFF0000"/>
        <rFont val="RomanC"/>
      </rPr>
      <t>I</t>
    </r>
  </si>
  <si>
    <r>
      <t xml:space="preserve">A-618-Gr. </t>
    </r>
    <r>
      <rPr>
        <b/>
        <sz val="10"/>
        <color rgb="FFFF0000"/>
        <rFont val="RomanC"/>
      </rPr>
      <t>II</t>
    </r>
  </si>
  <si>
    <t>RESISTENTE A CORROSIÓN</t>
  </si>
  <si>
    <r>
      <t xml:space="preserve">A-618-Gr. </t>
    </r>
    <r>
      <rPr>
        <b/>
        <sz val="10"/>
        <color rgb="FFFF0000"/>
        <rFont val="RomanC"/>
      </rPr>
      <t>III</t>
    </r>
  </si>
  <si>
    <t>B-282</t>
  </si>
  <si>
    <t>A-242</t>
  </si>
  <si>
    <t>B-282'</t>
  </si>
  <si>
    <t>A-242'</t>
  </si>
  <si>
    <t>B-282''</t>
  </si>
  <si>
    <t>A-242''</t>
  </si>
  <si>
    <t>A-588</t>
  </si>
  <si>
    <t>B-278</t>
  </si>
  <si>
    <t>A-606</t>
  </si>
  <si>
    <t>A-847</t>
  </si>
  <si>
    <t>TEMPLADO REVENIDO</t>
  </si>
  <si>
    <t>A-514</t>
  </si>
  <si>
    <t>A-514'</t>
  </si>
  <si>
    <t>A-678</t>
  </si>
  <si>
    <t>A-852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</si>
</sst>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g/cm²&quot;"/>
    <numFmt numFmtId="165" formatCode="#,##0\ &quot;Mpa&quot;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Stylus BT"/>
      <family val="2"/>
    </font>
    <font>
      <b/>
      <sz val="10"/>
      <color theme="1"/>
      <name val="Stylus BT"/>
      <family val="2"/>
    </font>
    <font>
      <b/>
      <sz val="10"/>
      <color rgb="FFFF0000"/>
      <name val="Stylus BT"/>
      <family val="2"/>
    </font>
    <font>
      <b/>
      <sz val="10"/>
      <color rgb="FF0070C0"/>
      <name val="Stylus BT"/>
      <family val="2"/>
    </font>
    <font>
      <b/>
      <sz val="10"/>
      <color rgb="FFFF0000"/>
      <name val="RomanC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center" readingOrder="1"/>
    </xf>
  </cellStyleXfs>
  <cellXfs count="42">
    <xf numFmtId="0" fontId="0" fillId="0" borderId="0" xfId="0"/>
    <xf numFmtId="0" fontId="1" fillId="0" borderId="0" xfId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 applyProtection="1">
      <alignment horizontal="center" vertical="center"/>
      <protection locked="0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1" fillId="0" borderId="12" xfId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164" fontId="4" fillId="0" borderId="0" xfId="1" applyNumberFormat="1" applyFont="1" applyAlignment="1" applyProtection="1">
      <alignment horizontal="center" vertical="center"/>
      <protection locked="0"/>
    </xf>
    <xf numFmtId="165" fontId="1" fillId="0" borderId="13" xfId="1" applyNumberForma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165" fontId="1" fillId="0" borderId="15" xfId="1" applyNumberForma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164" fontId="4" fillId="0" borderId="6" xfId="1" applyNumberFormat="1" applyFont="1" applyBorder="1" applyAlignment="1" applyProtection="1">
      <alignment horizontal="center" vertical="center"/>
      <protection locked="0"/>
    </xf>
    <xf numFmtId="165" fontId="1" fillId="0" borderId="16" xfId="1" applyNumberFormat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</cellXfs>
  <cellStyles count="2">
    <cellStyle name="Normal" xfId="0" builtinId="0"/>
    <cellStyle name="Normal 2 3" xfId="1" xr:uid="{53AE7672-0C76-4AD0-A983-6F2D7C362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A8DD-E012-40D1-AC2B-972112825DED}">
  <dimension ref="B2:AD77"/>
  <sheetViews>
    <sheetView tabSelected="1" workbookViewId="0">
      <selection sqref="A1:XFD1048576"/>
    </sheetView>
  </sheetViews>
  <sheetFormatPr baseColWidth="10" defaultColWidth="12.140625" defaultRowHeight="13.5" x14ac:dyDescent="0.25"/>
  <cols>
    <col min="1" max="1" width="3.5703125" style="1" customWidth="1"/>
    <col min="2" max="2" width="14.85546875" style="1" customWidth="1"/>
    <col min="3" max="3" width="19" style="1" customWidth="1"/>
    <col min="4" max="4" width="14.42578125" style="1" hidden="1" customWidth="1"/>
    <col min="5" max="5" width="15.42578125" style="1" hidden="1" customWidth="1"/>
    <col min="6" max="6" width="16.28515625" style="1" customWidth="1"/>
    <col min="7" max="7" width="19.28515625" style="1" customWidth="1"/>
    <col min="8" max="8" width="20.7109375" style="1" customWidth="1"/>
    <col min="9" max="9" width="18.5703125" style="1" customWidth="1"/>
    <col min="10" max="22" width="10.42578125" style="1" customWidth="1"/>
    <col min="23" max="27" width="7" style="1" customWidth="1"/>
    <col min="28" max="16384" width="12.140625" style="1"/>
  </cols>
  <sheetData>
    <row r="2" spans="2:30" ht="14.25" thickBot="1" x14ac:dyDescent="0.3"/>
    <row r="3" spans="2:30" ht="18.75" customHeight="1" thickTop="1" thickBot="1" x14ac:dyDescent="0.3">
      <c r="B3" s="2" t="s">
        <v>0</v>
      </c>
      <c r="C3" s="3" t="s">
        <v>1</v>
      </c>
      <c r="D3" s="4"/>
      <c r="E3" s="5"/>
      <c r="F3" s="3" t="s">
        <v>2</v>
      </c>
      <c r="G3" s="4"/>
      <c r="H3" s="4"/>
      <c r="I3" s="5"/>
      <c r="J3" s="3" t="s">
        <v>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</row>
    <row r="4" spans="2:30" ht="18.75" customHeight="1" thickTop="1" thickBot="1" x14ac:dyDescent="0.3">
      <c r="B4" s="6"/>
      <c r="C4" s="7" t="s">
        <v>4</v>
      </c>
      <c r="D4" s="8" t="s">
        <v>5</v>
      </c>
      <c r="E4" s="9" t="s">
        <v>4</v>
      </c>
      <c r="F4" s="3" t="s">
        <v>6</v>
      </c>
      <c r="G4" s="5"/>
      <c r="H4" s="10" t="s">
        <v>7</v>
      </c>
      <c r="I4" s="10"/>
      <c r="J4" s="11" t="s">
        <v>8</v>
      </c>
      <c r="K4" s="12" t="str">
        <f>IF(C4="NMX","LI-LD","L")</f>
        <v>L</v>
      </c>
      <c r="L4" s="12" t="str">
        <f>IF(C4="NMX","CE","C")</f>
        <v>C</v>
      </c>
      <c r="M4" s="13" t="str">
        <f>IF(C4="NMX","TR","WT")</f>
        <v>WT</v>
      </c>
      <c r="N4" s="13" t="str">
        <f>IF(C4="NMX","IE","S")</f>
        <v>S</v>
      </c>
      <c r="O4" s="13" t="str">
        <f>IF(C4="NMX","IR","W")</f>
        <v>W</v>
      </c>
      <c r="P4" s="8" t="s">
        <v>9</v>
      </c>
      <c r="Q4" s="13" t="s">
        <v>10</v>
      </c>
      <c r="R4" s="8" t="str">
        <f>IF(C4="NMX","OC","PIPE")</f>
        <v>PIPE</v>
      </c>
      <c r="S4" s="13" t="str">
        <f>IF(C4="NMX","OR","HSS")</f>
        <v>HSS</v>
      </c>
      <c r="T4" s="8" t="s">
        <v>11</v>
      </c>
      <c r="U4" s="12" t="s">
        <v>12</v>
      </c>
      <c r="V4" s="14" t="s">
        <v>13</v>
      </c>
      <c r="W4" s="15"/>
      <c r="AB4" s="1" t="s">
        <v>14</v>
      </c>
    </row>
    <row r="5" spans="2:30" ht="18.75" customHeight="1" thickTop="1" x14ac:dyDescent="0.25">
      <c r="B5" s="16" t="s">
        <v>15</v>
      </c>
      <c r="C5" s="17" t="str">
        <f t="shared" ref="C5:C43" si="0">IF($C$4=$D$4,D5,E5)</f>
        <v>A-36</v>
      </c>
      <c r="D5" s="18" t="s">
        <v>16</v>
      </c>
      <c r="E5" s="19" t="s">
        <v>17</v>
      </c>
      <c r="F5" s="20">
        <v>2530</v>
      </c>
      <c r="G5" s="21">
        <v>250</v>
      </c>
      <c r="H5" s="20">
        <v>4080</v>
      </c>
      <c r="I5" s="21">
        <v>400</v>
      </c>
      <c r="J5" s="22" t="s">
        <v>18</v>
      </c>
      <c r="K5" s="22" t="s">
        <v>18</v>
      </c>
      <c r="L5" s="22" t="s">
        <v>18</v>
      </c>
      <c r="M5" s="22" t="s">
        <v>19</v>
      </c>
      <c r="N5" s="22" t="s">
        <v>18</v>
      </c>
      <c r="O5" s="22" t="s">
        <v>19</v>
      </c>
      <c r="P5" s="22" t="s">
        <v>19</v>
      </c>
      <c r="Q5" s="22" t="s">
        <v>19</v>
      </c>
      <c r="R5" s="22" t="s">
        <v>20</v>
      </c>
      <c r="S5" s="22" t="s">
        <v>20</v>
      </c>
      <c r="T5" s="22" t="s">
        <v>20</v>
      </c>
      <c r="U5" s="22" t="s">
        <v>20</v>
      </c>
      <c r="V5" s="23" t="s">
        <v>20</v>
      </c>
    </row>
    <row r="6" spans="2:30" ht="18.75" customHeight="1" x14ac:dyDescent="0.25">
      <c r="B6" s="24"/>
      <c r="C6" s="25" t="str">
        <f t="shared" si="0"/>
        <v>A-53-Gr. B</v>
      </c>
      <c r="D6" s="18" t="s">
        <v>21</v>
      </c>
      <c r="E6" s="26" t="s">
        <v>22</v>
      </c>
      <c r="F6" s="20">
        <v>2460</v>
      </c>
      <c r="G6" s="27">
        <v>240</v>
      </c>
      <c r="H6" s="20">
        <v>4220</v>
      </c>
      <c r="I6" s="27">
        <v>415</v>
      </c>
      <c r="J6" s="22" t="s">
        <v>20</v>
      </c>
      <c r="K6" s="22" t="s">
        <v>20</v>
      </c>
      <c r="L6" s="22" t="s">
        <v>20</v>
      </c>
      <c r="M6" s="22" t="s">
        <v>20</v>
      </c>
      <c r="N6" s="22" t="s">
        <v>20</v>
      </c>
      <c r="O6" s="22" t="s">
        <v>20</v>
      </c>
      <c r="P6" s="22" t="s">
        <v>20</v>
      </c>
      <c r="Q6" s="22" t="s">
        <v>20</v>
      </c>
      <c r="R6" s="22" t="s">
        <v>18</v>
      </c>
      <c r="S6" s="22" t="s">
        <v>20</v>
      </c>
      <c r="T6" s="22" t="s">
        <v>20</v>
      </c>
      <c r="U6" s="22" t="s">
        <v>20</v>
      </c>
      <c r="V6" s="28" t="s">
        <v>20</v>
      </c>
      <c r="X6" s="22"/>
      <c r="Y6" s="22"/>
      <c r="AB6" s="22"/>
      <c r="AC6" s="22"/>
      <c r="AD6" s="22"/>
    </row>
    <row r="7" spans="2:30" ht="18.75" customHeight="1" x14ac:dyDescent="0.25">
      <c r="B7" s="24"/>
      <c r="C7" s="25" t="str">
        <f t="shared" si="0"/>
        <v>A-500-Gr. B</v>
      </c>
      <c r="D7" s="18" t="s">
        <v>23</v>
      </c>
      <c r="E7" s="26" t="s">
        <v>24</v>
      </c>
      <c r="F7" s="20">
        <v>2955</v>
      </c>
      <c r="G7" s="27">
        <v>290</v>
      </c>
      <c r="H7" s="20">
        <v>4080</v>
      </c>
      <c r="I7" s="27">
        <v>400</v>
      </c>
      <c r="J7" s="22" t="s">
        <v>20</v>
      </c>
      <c r="K7" s="22" t="s">
        <v>20</v>
      </c>
      <c r="L7" s="22" t="s">
        <v>20</v>
      </c>
      <c r="M7" s="22" t="s">
        <v>20</v>
      </c>
      <c r="N7" s="22" t="s">
        <v>20</v>
      </c>
      <c r="O7" s="22" t="s">
        <v>20</v>
      </c>
      <c r="P7" s="22" t="s">
        <v>20</v>
      </c>
      <c r="Q7" s="22" t="s">
        <v>20</v>
      </c>
      <c r="R7" s="22" t="s">
        <v>18</v>
      </c>
      <c r="S7" s="22"/>
      <c r="T7" s="22"/>
      <c r="U7" s="22"/>
      <c r="V7" s="28"/>
      <c r="AB7" s="22"/>
      <c r="AC7" s="22"/>
      <c r="AD7" s="22"/>
    </row>
    <row r="8" spans="2:30" ht="18.75" customHeight="1" x14ac:dyDescent="0.25">
      <c r="B8" s="24"/>
      <c r="C8" s="25" t="str">
        <f t="shared" si="0"/>
        <v>A-500-Gr. B'</v>
      </c>
      <c r="D8" s="18" t="s">
        <v>25</v>
      </c>
      <c r="E8" s="26" t="s">
        <v>26</v>
      </c>
      <c r="F8" s="20">
        <v>3235</v>
      </c>
      <c r="G8" s="27">
        <v>315</v>
      </c>
      <c r="H8" s="20">
        <v>4080</v>
      </c>
      <c r="I8" s="27">
        <v>400</v>
      </c>
      <c r="J8" s="22" t="s">
        <v>20</v>
      </c>
      <c r="K8" s="22" t="s">
        <v>20</v>
      </c>
      <c r="L8" s="22" t="s">
        <v>20</v>
      </c>
      <c r="M8" s="22" t="s">
        <v>20</v>
      </c>
      <c r="N8" s="22" t="s">
        <v>20</v>
      </c>
      <c r="O8" s="22" t="s">
        <v>20</v>
      </c>
      <c r="P8" s="22" t="s">
        <v>20</v>
      </c>
      <c r="Q8" s="22" t="s">
        <v>20</v>
      </c>
      <c r="R8" s="22" t="s">
        <v>20</v>
      </c>
      <c r="S8" s="22" t="s">
        <v>18</v>
      </c>
      <c r="T8" s="22" t="s">
        <v>20</v>
      </c>
      <c r="U8" s="22" t="s">
        <v>20</v>
      </c>
      <c r="V8" s="28" t="s">
        <v>20</v>
      </c>
      <c r="AB8" s="22"/>
      <c r="AC8" s="22"/>
      <c r="AD8" s="22"/>
    </row>
    <row r="9" spans="2:30" ht="18.75" customHeight="1" x14ac:dyDescent="0.25">
      <c r="B9" s="24"/>
      <c r="C9" s="25" t="str">
        <f t="shared" si="0"/>
        <v>A-500-Gr. C</v>
      </c>
      <c r="D9" s="18" t="s">
        <v>27</v>
      </c>
      <c r="E9" s="26" t="s">
        <v>28</v>
      </c>
      <c r="F9" s="20">
        <v>3235</v>
      </c>
      <c r="G9" s="27">
        <v>315</v>
      </c>
      <c r="H9" s="20">
        <v>4360</v>
      </c>
      <c r="I9" s="27">
        <v>425</v>
      </c>
      <c r="J9" s="22" t="s">
        <v>20</v>
      </c>
      <c r="K9" s="22" t="s">
        <v>20</v>
      </c>
      <c r="L9" s="22" t="s">
        <v>20</v>
      </c>
      <c r="M9" s="22" t="s">
        <v>20</v>
      </c>
      <c r="N9" s="22" t="s">
        <v>20</v>
      </c>
      <c r="O9" s="22" t="s">
        <v>20</v>
      </c>
      <c r="P9" s="22" t="s">
        <v>20</v>
      </c>
      <c r="Q9" s="22" t="s">
        <v>20</v>
      </c>
      <c r="R9" s="22" t="s">
        <v>19</v>
      </c>
      <c r="S9" s="22" t="s">
        <v>20</v>
      </c>
      <c r="T9" s="22" t="s">
        <v>20</v>
      </c>
      <c r="U9" s="22" t="s">
        <v>20</v>
      </c>
      <c r="V9" s="28" t="s">
        <v>20</v>
      </c>
      <c r="AB9" s="22"/>
      <c r="AC9" s="22"/>
      <c r="AD9" s="22"/>
    </row>
    <row r="10" spans="2:30" ht="18.75" customHeight="1" x14ac:dyDescent="0.25">
      <c r="B10" s="24"/>
      <c r="C10" s="25" t="str">
        <f t="shared" si="0"/>
        <v>A-500-Gr. C'</v>
      </c>
      <c r="D10" s="18" t="s">
        <v>29</v>
      </c>
      <c r="E10" s="26" t="s">
        <v>30</v>
      </c>
      <c r="F10" s="20">
        <v>3515</v>
      </c>
      <c r="G10" s="27">
        <v>345</v>
      </c>
      <c r="H10" s="20">
        <v>4360</v>
      </c>
      <c r="I10" s="27">
        <v>425</v>
      </c>
      <c r="J10" s="22" t="s">
        <v>20</v>
      </c>
      <c r="K10" s="22" t="s">
        <v>20</v>
      </c>
      <c r="L10" s="22" t="s">
        <v>20</v>
      </c>
      <c r="M10" s="22" t="s">
        <v>20</v>
      </c>
      <c r="N10" s="22" t="s">
        <v>20</v>
      </c>
      <c r="O10" s="22" t="s">
        <v>20</v>
      </c>
      <c r="P10" s="22" t="s">
        <v>20</v>
      </c>
      <c r="Q10" s="22" t="s">
        <v>20</v>
      </c>
      <c r="R10" s="22" t="s">
        <v>20</v>
      </c>
      <c r="S10" s="22" t="s">
        <v>19</v>
      </c>
      <c r="T10" s="22" t="s">
        <v>20</v>
      </c>
      <c r="U10" s="22" t="s">
        <v>20</v>
      </c>
      <c r="V10" s="28" t="s">
        <v>20</v>
      </c>
      <c r="AB10" s="22"/>
      <c r="AC10" s="22"/>
      <c r="AD10" s="22"/>
    </row>
    <row r="11" spans="2:30" ht="18.75" customHeight="1" x14ac:dyDescent="0.25">
      <c r="B11" s="24"/>
      <c r="C11" s="25" t="str">
        <f t="shared" si="0"/>
        <v>A-501-Gr. A</v>
      </c>
      <c r="D11" s="18" t="s">
        <v>31</v>
      </c>
      <c r="E11" s="26" t="s">
        <v>32</v>
      </c>
      <c r="F11" s="20">
        <v>2530</v>
      </c>
      <c r="G11" s="27">
        <v>250</v>
      </c>
      <c r="H11" s="20">
        <v>4080</v>
      </c>
      <c r="I11" s="27">
        <v>400</v>
      </c>
      <c r="J11" s="22" t="s">
        <v>20</v>
      </c>
      <c r="K11" s="22" t="s">
        <v>20</v>
      </c>
      <c r="L11" s="22" t="s">
        <v>20</v>
      </c>
      <c r="M11" s="22" t="s">
        <v>20</v>
      </c>
      <c r="N11" s="22" t="s">
        <v>20</v>
      </c>
      <c r="O11" s="22" t="s">
        <v>20</v>
      </c>
      <c r="P11" s="22" t="s">
        <v>20</v>
      </c>
      <c r="Q11" s="22" t="s">
        <v>20</v>
      </c>
      <c r="R11" s="22" t="s">
        <v>19</v>
      </c>
      <c r="S11" s="22" t="s">
        <v>19</v>
      </c>
      <c r="T11" s="22" t="s">
        <v>20</v>
      </c>
      <c r="U11" s="22" t="s">
        <v>20</v>
      </c>
      <c r="V11" s="28" t="s">
        <v>20</v>
      </c>
      <c r="AB11" s="22"/>
      <c r="AC11" s="22"/>
      <c r="AD11" s="22"/>
    </row>
    <row r="12" spans="2:30" ht="18.75" customHeight="1" x14ac:dyDescent="0.25">
      <c r="B12" s="24"/>
      <c r="C12" s="25" t="str">
        <f t="shared" si="0"/>
        <v>A-501-Gr. B</v>
      </c>
      <c r="D12" s="18" t="s">
        <v>33</v>
      </c>
      <c r="E12" s="26" t="s">
        <v>34</v>
      </c>
      <c r="F12" s="20">
        <v>3515</v>
      </c>
      <c r="G12" s="27">
        <v>345</v>
      </c>
      <c r="H12" s="20">
        <v>4920</v>
      </c>
      <c r="I12" s="27">
        <v>485</v>
      </c>
      <c r="J12" s="22" t="s">
        <v>20</v>
      </c>
      <c r="K12" s="22" t="s">
        <v>20</v>
      </c>
      <c r="L12" s="22" t="s">
        <v>20</v>
      </c>
      <c r="M12" s="22" t="s">
        <v>20</v>
      </c>
      <c r="N12" s="22" t="s">
        <v>20</v>
      </c>
      <c r="O12" s="22" t="s">
        <v>20</v>
      </c>
      <c r="P12" s="22" t="s">
        <v>20</v>
      </c>
      <c r="Q12" s="22" t="s">
        <v>20</v>
      </c>
      <c r="R12" s="22" t="s">
        <v>19</v>
      </c>
      <c r="S12" s="22" t="s">
        <v>19</v>
      </c>
      <c r="T12" s="22" t="s">
        <v>20</v>
      </c>
      <c r="U12" s="22" t="s">
        <v>20</v>
      </c>
      <c r="V12" s="28" t="s">
        <v>20</v>
      </c>
      <c r="AB12" s="22"/>
      <c r="AC12" s="22"/>
      <c r="AD12" s="22"/>
    </row>
    <row r="13" spans="2:30" ht="18.75" customHeight="1" x14ac:dyDescent="0.25">
      <c r="B13" s="24"/>
      <c r="C13" s="25" t="str">
        <f t="shared" si="0"/>
        <v>A-529-Gr. 50</v>
      </c>
      <c r="D13" s="18" t="s">
        <v>35</v>
      </c>
      <c r="E13" s="26" t="s">
        <v>36</v>
      </c>
      <c r="F13" s="20">
        <v>3515</v>
      </c>
      <c r="G13" s="27">
        <v>345</v>
      </c>
      <c r="H13" s="20">
        <v>4570</v>
      </c>
      <c r="I13" s="27">
        <v>450</v>
      </c>
      <c r="J13" s="22" t="s">
        <v>19</v>
      </c>
      <c r="K13" s="22" t="s">
        <v>18</v>
      </c>
      <c r="L13" s="22" t="s">
        <v>18</v>
      </c>
      <c r="M13" s="22" t="s">
        <v>19</v>
      </c>
      <c r="N13" s="22" t="s">
        <v>19</v>
      </c>
      <c r="O13" s="22" t="s">
        <v>19</v>
      </c>
      <c r="P13" s="22" t="s">
        <v>19</v>
      </c>
      <c r="Q13" s="22" t="s">
        <v>19</v>
      </c>
      <c r="R13" s="22" t="s">
        <v>20</v>
      </c>
      <c r="S13" s="22" t="s">
        <v>20</v>
      </c>
      <c r="T13" s="22" t="s">
        <v>19</v>
      </c>
      <c r="U13" s="22" t="s">
        <v>20</v>
      </c>
      <c r="V13" s="28" t="s">
        <v>20</v>
      </c>
      <c r="AB13" s="22"/>
      <c r="AC13" s="22"/>
      <c r="AD13" s="22"/>
    </row>
    <row r="14" spans="2:30" ht="18.75" customHeight="1" thickBot="1" x14ac:dyDescent="0.3">
      <c r="B14" s="29"/>
      <c r="C14" s="30" t="str">
        <f t="shared" si="0"/>
        <v>A-529-Gr. 55</v>
      </c>
      <c r="D14" s="31" t="s">
        <v>37</v>
      </c>
      <c r="E14" s="32" t="s">
        <v>38</v>
      </c>
      <c r="F14" s="33">
        <v>3865</v>
      </c>
      <c r="G14" s="34">
        <v>380</v>
      </c>
      <c r="H14" s="33">
        <v>4920</v>
      </c>
      <c r="I14" s="34">
        <v>485</v>
      </c>
      <c r="J14" s="22" t="s">
        <v>19</v>
      </c>
      <c r="K14" s="22" t="s">
        <v>19</v>
      </c>
      <c r="L14" s="22" t="s">
        <v>19</v>
      </c>
      <c r="M14" s="22" t="s">
        <v>19</v>
      </c>
      <c r="N14" s="22" t="s">
        <v>19</v>
      </c>
      <c r="O14" s="22" t="s">
        <v>19</v>
      </c>
      <c r="P14" s="22" t="s">
        <v>19</v>
      </c>
      <c r="Q14" s="22" t="s">
        <v>19</v>
      </c>
      <c r="R14" s="22" t="s">
        <v>20</v>
      </c>
      <c r="S14" s="22" t="s">
        <v>20</v>
      </c>
      <c r="T14" s="22" t="s">
        <v>19</v>
      </c>
      <c r="U14" s="22" t="s">
        <v>20</v>
      </c>
      <c r="V14" s="28" t="s">
        <v>20</v>
      </c>
      <c r="AB14" s="22"/>
      <c r="AC14" s="22"/>
      <c r="AD14" s="22"/>
    </row>
    <row r="15" spans="2:30" ht="18.75" customHeight="1" thickTop="1" x14ac:dyDescent="0.25">
      <c r="B15" s="35" t="s">
        <v>39</v>
      </c>
      <c r="C15" s="25" t="str">
        <f t="shared" si="0"/>
        <v>A-572-Gr. 42</v>
      </c>
      <c r="D15" s="18" t="s">
        <v>40</v>
      </c>
      <c r="E15" s="26" t="s">
        <v>41</v>
      </c>
      <c r="F15" s="20">
        <v>2955</v>
      </c>
      <c r="G15" s="27">
        <v>290</v>
      </c>
      <c r="H15" s="20">
        <v>4220</v>
      </c>
      <c r="I15" s="27">
        <v>415</v>
      </c>
      <c r="J15" s="22" t="s">
        <v>19</v>
      </c>
      <c r="K15" s="22" t="s">
        <v>19</v>
      </c>
      <c r="L15" s="22" t="s">
        <v>19</v>
      </c>
      <c r="M15" s="22" t="s">
        <v>19</v>
      </c>
      <c r="N15" s="22" t="s">
        <v>19</v>
      </c>
      <c r="O15" s="22" t="s">
        <v>19</v>
      </c>
      <c r="P15" s="22" t="s">
        <v>19</v>
      </c>
      <c r="Q15" s="22" t="s">
        <v>19</v>
      </c>
      <c r="R15" s="22" t="s">
        <v>20</v>
      </c>
      <c r="S15" s="22" t="s">
        <v>20</v>
      </c>
      <c r="T15" s="22" t="s">
        <v>19</v>
      </c>
      <c r="U15" s="22" t="s">
        <v>20</v>
      </c>
      <c r="V15" s="28" t="s">
        <v>20</v>
      </c>
      <c r="AB15" s="22"/>
      <c r="AC15" s="22"/>
      <c r="AD15" s="22"/>
    </row>
    <row r="16" spans="2:30" ht="18.75" customHeight="1" x14ac:dyDescent="0.25">
      <c r="B16" s="35"/>
      <c r="C16" s="25" t="str">
        <f t="shared" si="0"/>
        <v>A-572-Gr. 50</v>
      </c>
      <c r="D16" s="18" t="s">
        <v>42</v>
      </c>
      <c r="E16" s="26" t="s">
        <v>43</v>
      </c>
      <c r="F16" s="20">
        <v>3515</v>
      </c>
      <c r="G16" s="27">
        <v>345</v>
      </c>
      <c r="H16" s="20">
        <v>4570</v>
      </c>
      <c r="I16" s="27">
        <v>450</v>
      </c>
      <c r="J16" s="22" t="s">
        <v>18</v>
      </c>
      <c r="K16" s="22" t="s">
        <v>18</v>
      </c>
      <c r="L16" s="22" t="s">
        <v>18</v>
      </c>
      <c r="M16" s="22" t="s">
        <v>18</v>
      </c>
      <c r="N16" s="22" t="s">
        <v>18</v>
      </c>
      <c r="O16" s="22" t="s">
        <v>18</v>
      </c>
      <c r="P16" s="22" t="s">
        <v>18</v>
      </c>
      <c r="Q16" s="22" t="s">
        <v>18</v>
      </c>
      <c r="R16" s="22" t="s">
        <v>20</v>
      </c>
      <c r="S16" s="22" t="s">
        <v>20</v>
      </c>
      <c r="T16" s="22" t="s">
        <v>18</v>
      </c>
      <c r="U16" s="22" t="s">
        <v>20</v>
      </c>
      <c r="V16" s="28" t="s">
        <v>20</v>
      </c>
      <c r="AB16" s="22"/>
      <c r="AC16" s="22"/>
      <c r="AD16" s="22"/>
    </row>
    <row r="17" spans="2:30" ht="18.75" customHeight="1" x14ac:dyDescent="0.25">
      <c r="B17" s="35"/>
      <c r="C17" s="25" t="str">
        <f t="shared" si="0"/>
        <v>A-572-Gr. 55</v>
      </c>
      <c r="D17" s="18" t="s">
        <v>44</v>
      </c>
      <c r="E17" s="26" t="s">
        <v>45</v>
      </c>
      <c r="F17" s="20">
        <v>3865</v>
      </c>
      <c r="G17" s="27">
        <v>380</v>
      </c>
      <c r="H17" s="20">
        <v>4920</v>
      </c>
      <c r="I17" s="27">
        <v>485</v>
      </c>
      <c r="J17" s="22" t="s">
        <v>19</v>
      </c>
      <c r="K17" s="22" t="s">
        <v>19</v>
      </c>
      <c r="L17" s="22" t="s">
        <v>19</v>
      </c>
      <c r="M17" s="22" t="s">
        <v>19</v>
      </c>
      <c r="N17" s="22" t="s">
        <v>19</v>
      </c>
      <c r="O17" s="22" t="s">
        <v>19</v>
      </c>
      <c r="P17" s="22" t="s">
        <v>19</v>
      </c>
      <c r="Q17" s="22" t="s">
        <v>19</v>
      </c>
      <c r="R17" s="22" t="s">
        <v>20</v>
      </c>
      <c r="S17" s="22" t="s">
        <v>20</v>
      </c>
      <c r="T17" s="22" t="s">
        <v>19</v>
      </c>
      <c r="U17" s="22" t="s">
        <v>20</v>
      </c>
      <c r="V17" s="28" t="s">
        <v>20</v>
      </c>
      <c r="AB17" s="22"/>
      <c r="AC17" s="22"/>
      <c r="AD17" s="22"/>
    </row>
    <row r="18" spans="2:30" ht="18.75" customHeight="1" x14ac:dyDescent="0.25">
      <c r="B18" s="35"/>
      <c r="C18" s="25" t="str">
        <f t="shared" si="0"/>
        <v>A-572-Gr. 60</v>
      </c>
      <c r="D18" s="18" t="s">
        <v>46</v>
      </c>
      <c r="E18" s="26" t="s">
        <v>47</v>
      </c>
      <c r="F18" s="20">
        <v>4220</v>
      </c>
      <c r="G18" s="27">
        <v>415</v>
      </c>
      <c r="H18" s="20">
        <v>5275</v>
      </c>
      <c r="I18" s="27">
        <v>515</v>
      </c>
      <c r="J18" s="22" t="s">
        <v>19</v>
      </c>
      <c r="K18" s="22" t="s">
        <v>19</v>
      </c>
      <c r="L18" s="22" t="s">
        <v>19</v>
      </c>
      <c r="M18" s="22" t="s">
        <v>19</v>
      </c>
      <c r="N18" s="22" t="s">
        <v>19</v>
      </c>
      <c r="O18" s="22" t="s">
        <v>19</v>
      </c>
      <c r="P18" s="22" t="s">
        <v>19</v>
      </c>
      <c r="Q18" s="22" t="s">
        <v>19</v>
      </c>
      <c r="R18" s="22" t="s">
        <v>20</v>
      </c>
      <c r="S18" s="22" t="s">
        <v>20</v>
      </c>
      <c r="T18" s="22" t="s">
        <v>19</v>
      </c>
      <c r="U18" s="22" t="s">
        <v>20</v>
      </c>
      <c r="V18" s="28" t="s">
        <v>20</v>
      </c>
      <c r="AB18" s="22"/>
      <c r="AC18" s="22"/>
      <c r="AD18" s="22"/>
    </row>
    <row r="19" spans="2:30" ht="18.75" customHeight="1" x14ac:dyDescent="0.25">
      <c r="B19" s="35"/>
      <c r="C19" s="25" t="str">
        <f t="shared" si="0"/>
        <v>A-572-Gr. 65</v>
      </c>
      <c r="D19" s="18" t="s">
        <v>48</v>
      </c>
      <c r="E19" s="26" t="s">
        <v>49</v>
      </c>
      <c r="F19" s="20">
        <v>4570</v>
      </c>
      <c r="G19" s="27">
        <v>450</v>
      </c>
      <c r="H19" s="20">
        <v>5265</v>
      </c>
      <c r="I19" s="27">
        <v>550</v>
      </c>
      <c r="J19" s="22" t="s">
        <v>19</v>
      </c>
      <c r="K19" s="22" t="s">
        <v>19</v>
      </c>
      <c r="L19" s="22" t="s">
        <v>19</v>
      </c>
      <c r="M19" s="22" t="s">
        <v>19</v>
      </c>
      <c r="N19" s="22" t="s">
        <v>19</v>
      </c>
      <c r="O19" s="22" t="s">
        <v>19</v>
      </c>
      <c r="P19" s="22" t="s">
        <v>19</v>
      </c>
      <c r="Q19" s="22" t="s">
        <v>19</v>
      </c>
      <c r="R19" s="22" t="s">
        <v>20</v>
      </c>
      <c r="S19" s="22" t="s">
        <v>20</v>
      </c>
      <c r="T19" s="22" t="s">
        <v>19</v>
      </c>
      <c r="U19" s="22" t="s">
        <v>20</v>
      </c>
      <c r="V19" s="28" t="s">
        <v>20</v>
      </c>
      <c r="AB19" s="22"/>
      <c r="AC19" s="22"/>
      <c r="AD19" s="22"/>
    </row>
    <row r="20" spans="2:30" ht="18.75" customHeight="1" x14ac:dyDescent="0.25">
      <c r="B20" s="35"/>
      <c r="C20" s="25" t="str">
        <f t="shared" si="0"/>
        <v>A-913-Gr. 50</v>
      </c>
      <c r="D20" s="18" t="s">
        <v>20</v>
      </c>
      <c r="E20" s="26" t="s">
        <v>50</v>
      </c>
      <c r="F20" s="20">
        <v>3515</v>
      </c>
      <c r="G20" s="27">
        <v>345</v>
      </c>
      <c r="H20" s="20">
        <v>4220</v>
      </c>
      <c r="I20" s="27">
        <v>415</v>
      </c>
      <c r="J20" s="22" t="s">
        <v>20</v>
      </c>
      <c r="K20" s="22" t="s">
        <v>19</v>
      </c>
      <c r="L20" s="22" t="s">
        <v>19</v>
      </c>
      <c r="M20" s="22" t="s">
        <v>19</v>
      </c>
      <c r="N20" s="22" t="s">
        <v>19</v>
      </c>
      <c r="O20" s="22" t="s">
        <v>19</v>
      </c>
      <c r="P20" s="22" t="s">
        <v>19</v>
      </c>
      <c r="Q20" s="22" t="s">
        <v>19</v>
      </c>
      <c r="R20" s="22" t="s">
        <v>20</v>
      </c>
      <c r="S20" s="22" t="s">
        <v>20</v>
      </c>
      <c r="T20" s="22" t="s">
        <v>20</v>
      </c>
      <c r="U20" s="22" t="s">
        <v>20</v>
      </c>
      <c r="V20" s="28" t="s">
        <v>20</v>
      </c>
      <c r="AB20" s="22"/>
      <c r="AC20" s="22"/>
      <c r="AD20" s="22"/>
    </row>
    <row r="21" spans="2:30" ht="18.75" customHeight="1" x14ac:dyDescent="0.25">
      <c r="B21" s="35"/>
      <c r="C21" s="25" t="str">
        <f t="shared" si="0"/>
        <v>A-913-Gr. 60</v>
      </c>
      <c r="D21" s="18" t="s">
        <v>20</v>
      </c>
      <c r="E21" s="26" t="s">
        <v>51</v>
      </c>
      <c r="F21" s="20">
        <v>4220</v>
      </c>
      <c r="G21" s="27">
        <v>415</v>
      </c>
      <c r="H21" s="20">
        <v>5275</v>
      </c>
      <c r="I21" s="27">
        <v>515</v>
      </c>
      <c r="J21" s="22" t="s">
        <v>20</v>
      </c>
      <c r="K21" s="22" t="s">
        <v>19</v>
      </c>
      <c r="L21" s="22" t="s">
        <v>19</v>
      </c>
      <c r="M21" s="22" t="s">
        <v>19</v>
      </c>
      <c r="N21" s="22" t="s">
        <v>19</v>
      </c>
      <c r="O21" s="22" t="s">
        <v>19</v>
      </c>
      <c r="P21" s="22" t="s">
        <v>19</v>
      </c>
      <c r="Q21" s="22" t="s">
        <v>19</v>
      </c>
      <c r="R21" s="22" t="s">
        <v>20</v>
      </c>
      <c r="S21" s="22" t="s">
        <v>20</v>
      </c>
      <c r="T21" s="22" t="s">
        <v>20</v>
      </c>
      <c r="U21" s="22" t="s">
        <v>20</v>
      </c>
      <c r="V21" s="28" t="s">
        <v>20</v>
      </c>
      <c r="AB21" s="22"/>
      <c r="AC21" s="22"/>
      <c r="AD21" s="22"/>
    </row>
    <row r="22" spans="2:30" ht="18.75" customHeight="1" x14ac:dyDescent="0.25">
      <c r="B22" s="35"/>
      <c r="C22" s="25" t="str">
        <f t="shared" si="0"/>
        <v>A-913-Gr. 65</v>
      </c>
      <c r="D22" s="18" t="s">
        <v>20</v>
      </c>
      <c r="E22" s="26" t="s">
        <v>52</v>
      </c>
      <c r="F22" s="20">
        <v>4570</v>
      </c>
      <c r="G22" s="27">
        <v>450</v>
      </c>
      <c r="H22" s="20">
        <v>5625</v>
      </c>
      <c r="I22" s="27">
        <v>550</v>
      </c>
      <c r="J22" s="22" t="s">
        <v>20</v>
      </c>
      <c r="K22" s="22" t="s">
        <v>19</v>
      </c>
      <c r="L22" s="22" t="s">
        <v>19</v>
      </c>
      <c r="M22" s="22" t="s">
        <v>19</v>
      </c>
      <c r="N22" s="22" t="s">
        <v>19</v>
      </c>
      <c r="O22" s="22" t="s">
        <v>19</v>
      </c>
      <c r="P22" s="22" t="s">
        <v>19</v>
      </c>
      <c r="Q22" s="22" t="s">
        <v>19</v>
      </c>
      <c r="R22" s="22" t="s">
        <v>20</v>
      </c>
      <c r="S22" s="22" t="s">
        <v>20</v>
      </c>
      <c r="T22" s="22" t="s">
        <v>20</v>
      </c>
      <c r="U22" s="22" t="s">
        <v>20</v>
      </c>
      <c r="V22" s="28" t="s">
        <v>20</v>
      </c>
      <c r="AB22" s="22"/>
      <c r="AC22" s="22"/>
      <c r="AD22" s="22"/>
    </row>
    <row r="23" spans="2:30" ht="18.75" customHeight="1" x14ac:dyDescent="0.25">
      <c r="B23" s="35"/>
      <c r="C23" s="25" t="str">
        <f t="shared" si="0"/>
        <v>A-913-Gr. 70</v>
      </c>
      <c r="D23" s="18" t="s">
        <v>20</v>
      </c>
      <c r="E23" s="26" t="s">
        <v>53</v>
      </c>
      <c r="F23" s="20">
        <v>4920</v>
      </c>
      <c r="G23" s="27">
        <v>485</v>
      </c>
      <c r="H23" s="20">
        <v>6330</v>
      </c>
      <c r="I23" s="27">
        <v>620</v>
      </c>
      <c r="J23" s="22" t="s">
        <v>20</v>
      </c>
      <c r="K23" s="22" t="s">
        <v>19</v>
      </c>
      <c r="L23" s="22" t="s">
        <v>19</v>
      </c>
      <c r="M23" s="22" t="s">
        <v>19</v>
      </c>
      <c r="N23" s="22" t="s">
        <v>19</v>
      </c>
      <c r="O23" s="22" t="s">
        <v>19</v>
      </c>
      <c r="P23" s="22" t="s">
        <v>19</v>
      </c>
      <c r="Q23" s="22" t="s">
        <v>19</v>
      </c>
      <c r="R23" s="22" t="s">
        <v>20</v>
      </c>
      <c r="S23" s="22" t="s">
        <v>20</v>
      </c>
      <c r="T23" s="22" t="s">
        <v>20</v>
      </c>
      <c r="U23" s="22" t="s">
        <v>20</v>
      </c>
      <c r="V23" s="28" t="s">
        <v>20</v>
      </c>
      <c r="AB23" s="22"/>
      <c r="AC23" s="22"/>
      <c r="AD23" s="22"/>
    </row>
    <row r="24" spans="2:30" ht="18.75" customHeight="1" x14ac:dyDescent="0.25">
      <c r="B24" s="35"/>
      <c r="C24" s="25" t="str">
        <f t="shared" si="0"/>
        <v>A-992</v>
      </c>
      <c r="D24" s="18" t="s">
        <v>20</v>
      </c>
      <c r="E24" s="26" t="s">
        <v>54</v>
      </c>
      <c r="F24" s="20">
        <v>3515</v>
      </c>
      <c r="G24" s="27">
        <v>345</v>
      </c>
      <c r="H24" s="20">
        <v>4570</v>
      </c>
      <c r="I24" s="27">
        <v>450</v>
      </c>
      <c r="J24" s="22" t="s">
        <v>20</v>
      </c>
      <c r="K24" s="22" t="s">
        <v>19</v>
      </c>
      <c r="L24" s="22" t="s">
        <v>19</v>
      </c>
      <c r="M24" s="22" t="s">
        <v>19</v>
      </c>
      <c r="N24" s="22" t="s">
        <v>19</v>
      </c>
      <c r="O24" s="22" t="s">
        <v>18</v>
      </c>
      <c r="P24" s="22" t="s">
        <v>18</v>
      </c>
      <c r="Q24" s="22" t="s">
        <v>18</v>
      </c>
      <c r="R24" s="22" t="s">
        <v>20</v>
      </c>
      <c r="S24" s="22" t="s">
        <v>20</v>
      </c>
      <c r="T24" s="22" t="s">
        <v>20</v>
      </c>
      <c r="U24" s="22" t="s">
        <v>20</v>
      </c>
      <c r="V24" s="28" t="s">
        <v>20</v>
      </c>
      <c r="AB24" s="22"/>
      <c r="AC24" s="22"/>
      <c r="AD24" s="22"/>
    </row>
    <row r="25" spans="2:30" ht="18.75" customHeight="1" x14ac:dyDescent="0.25">
      <c r="B25" s="35"/>
      <c r="C25" s="25" t="str">
        <f t="shared" si="0"/>
        <v>A-1008-Gr. 50</v>
      </c>
      <c r="D25" s="18" t="s">
        <v>20</v>
      </c>
      <c r="E25" s="26" t="s">
        <v>55</v>
      </c>
      <c r="F25" s="20">
        <v>3515</v>
      </c>
      <c r="G25" s="27">
        <v>345</v>
      </c>
      <c r="H25" s="20">
        <v>4220</v>
      </c>
      <c r="I25" s="27">
        <v>415</v>
      </c>
      <c r="J25" s="22" t="s">
        <v>20</v>
      </c>
      <c r="K25" s="22" t="s">
        <v>20</v>
      </c>
      <c r="L25" s="22" t="s">
        <v>20</v>
      </c>
      <c r="M25" s="22" t="s">
        <v>20</v>
      </c>
      <c r="N25" s="22" t="s">
        <v>20</v>
      </c>
      <c r="O25" s="22" t="s">
        <v>20</v>
      </c>
      <c r="P25" s="22" t="s">
        <v>20</v>
      </c>
      <c r="Q25" s="22" t="s">
        <v>20</v>
      </c>
      <c r="R25" s="22" t="s">
        <v>20</v>
      </c>
      <c r="S25" s="22" t="s">
        <v>20</v>
      </c>
      <c r="T25" s="22" t="s">
        <v>20</v>
      </c>
      <c r="U25" s="22" t="s">
        <v>18</v>
      </c>
      <c r="V25" s="28" t="s">
        <v>18</v>
      </c>
      <c r="AB25" s="22"/>
      <c r="AC25" s="22"/>
      <c r="AD25" s="22"/>
    </row>
    <row r="26" spans="2:30" ht="18.75" customHeight="1" x14ac:dyDescent="0.25">
      <c r="B26" s="35"/>
      <c r="C26" s="25" t="str">
        <f t="shared" si="0"/>
        <v>A-1008-Gr. 60</v>
      </c>
      <c r="D26" s="18" t="s">
        <v>20</v>
      </c>
      <c r="E26" s="26" t="s">
        <v>56</v>
      </c>
      <c r="F26" s="20">
        <v>4220</v>
      </c>
      <c r="G26" s="27">
        <v>415</v>
      </c>
      <c r="H26" s="20">
        <v>4920</v>
      </c>
      <c r="I26" s="27">
        <v>485</v>
      </c>
      <c r="J26" s="22" t="s">
        <v>20</v>
      </c>
      <c r="K26" s="22" t="s">
        <v>20</v>
      </c>
      <c r="L26" s="22" t="s">
        <v>20</v>
      </c>
      <c r="M26" s="22" t="s">
        <v>20</v>
      </c>
      <c r="N26" s="22" t="s">
        <v>20</v>
      </c>
      <c r="O26" s="22" t="s">
        <v>20</v>
      </c>
      <c r="P26" s="22" t="s">
        <v>20</v>
      </c>
      <c r="Q26" s="22" t="s">
        <v>20</v>
      </c>
      <c r="R26" s="22" t="s">
        <v>20</v>
      </c>
      <c r="S26" s="22" t="s">
        <v>20</v>
      </c>
      <c r="T26" s="22" t="s">
        <v>20</v>
      </c>
      <c r="U26" s="22" t="s">
        <v>19</v>
      </c>
      <c r="V26" s="28" t="s">
        <v>19</v>
      </c>
      <c r="AB26" s="22"/>
      <c r="AC26" s="22"/>
      <c r="AD26" s="22"/>
    </row>
    <row r="27" spans="2:30" ht="18.75" customHeight="1" x14ac:dyDescent="0.25">
      <c r="B27" s="35"/>
      <c r="C27" s="25" t="str">
        <f t="shared" si="0"/>
        <v>A-1011-Gr. 60</v>
      </c>
      <c r="D27" s="18" t="s">
        <v>57</v>
      </c>
      <c r="E27" s="26" t="s">
        <v>58</v>
      </c>
      <c r="F27" s="20">
        <v>4220</v>
      </c>
      <c r="G27" s="27">
        <v>415</v>
      </c>
      <c r="H27" s="20">
        <v>4920</v>
      </c>
      <c r="I27" s="27">
        <v>485</v>
      </c>
      <c r="J27" s="22" t="s">
        <v>20</v>
      </c>
      <c r="K27" s="22" t="s">
        <v>20</v>
      </c>
      <c r="L27" s="22" t="s">
        <v>20</v>
      </c>
      <c r="M27" s="22" t="s">
        <v>20</v>
      </c>
      <c r="N27" s="22" t="s">
        <v>20</v>
      </c>
      <c r="O27" s="22" t="s">
        <v>20</v>
      </c>
      <c r="P27" s="22" t="s">
        <v>20</v>
      </c>
      <c r="Q27" s="22" t="s">
        <v>20</v>
      </c>
      <c r="R27" s="22" t="s">
        <v>20</v>
      </c>
      <c r="S27" s="22" t="s">
        <v>20</v>
      </c>
      <c r="T27" s="22" t="s">
        <v>20</v>
      </c>
      <c r="U27" s="22" t="s">
        <v>19</v>
      </c>
      <c r="V27" s="28" t="s">
        <v>19</v>
      </c>
      <c r="AB27" s="22"/>
      <c r="AC27" s="22"/>
      <c r="AD27" s="22"/>
    </row>
    <row r="28" spans="2:30" ht="18.75" customHeight="1" x14ac:dyDescent="0.25">
      <c r="B28" s="35"/>
      <c r="C28" s="25" t="str">
        <f t="shared" si="0"/>
        <v>A-1011-Gr. 70</v>
      </c>
      <c r="D28" s="18" t="s">
        <v>59</v>
      </c>
      <c r="E28" s="26" t="s">
        <v>60</v>
      </c>
      <c r="F28" s="20">
        <v>4920</v>
      </c>
      <c r="G28" s="27">
        <v>485</v>
      </c>
      <c r="H28" s="20">
        <v>5625</v>
      </c>
      <c r="I28" s="27">
        <v>550</v>
      </c>
      <c r="J28" s="22" t="s">
        <v>20</v>
      </c>
      <c r="K28" s="22" t="s">
        <v>20</v>
      </c>
      <c r="L28" s="22" t="s">
        <v>20</v>
      </c>
      <c r="M28" s="22" t="s">
        <v>20</v>
      </c>
      <c r="N28" s="22" t="s">
        <v>20</v>
      </c>
      <c r="O28" s="22" t="s">
        <v>20</v>
      </c>
      <c r="P28" s="22" t="s">
        <v>20</v>
      </c>
      <c r="Q28" s="22" t="s">
        <v>20</v>
      </c>
      <c r="R28" s="22" t="s">
        <v>20</v>
      </c>
      <c r="S28" s="22" t="s">
        <v>20</v>
      </c>
      <c r="T28" s="22" t="s">
        <v>20</v>
      </c>
      <c r="U28" s="22" t="s">
        <v>19</v>
      </c>
      <c r="V28" s="28" t="s">
        <v>19</v>
      </c>
      <c r="AB28" s="22"/>
      <c r="AC28" s="22"/>
      <c r="AD28" s="22"/>
    </row>
    <row r="29" spans="2:30" ht="18.75" customHeight="1" x14ac:dyDescent="0.25">
      <c r="B29" s="35"/>
      <c r="C29" s="25" t="str">
        <f t="shared" si="0"/>
        <v>A-1018-Gr. 70</v>
      </c>
      <c r="D29" s="18" t="s">
        <v>59</v>
      </c>
      <c r="E29" s="26" t="s">
        <v>61</v>
      </c>
      <c r="F29" s="20">
        <v>4920</v>
      </c>
      <c r="G29" s="27">
        <v>485</v>
      </c>
      <c r="H29" s="20">
        <v>5625</v>
      </c>
      <c r="I29" s="27">
        <v>550</v>
      </c>
      <c r="J29" s="22" t="s">
        <v>20</v>
      </c>
      <c r="K29" s="22" t="s">
        <v>20</v>
      </c>
      <c r="L29" s="22" t="s">
        <v>20</v>
      </c>
      <c r="M29" s="22" t="s">
        <v>20</v>
      </c>
      <c r="N29" s="22" t="s">
        <v>20</v>
      </c>
      <c r="O29" s="22" t="s">
        <v>20</v>
      </c>
      <c r="P29" s="22" t="s">
        <v>20</v>
      </c>
      <c r="Q29" s="22" t="s">
        <v>20</v>
      </c>
      <c r="R29" s="22" t="s">
        <v>20</v>
      </c>
      <c r="S29" s="22" t="s">
        <v>20</v>
      </c>
      <c r="T29" s="22" t="s">
        <v>20</v>
      </c>
      <c r="U29" s="22" t="s">
        <v>19</v>
      </c>
      <c r="V29" s="28" t="s">
        <v>19</v>
      </c>
      <c r="AB29" s="22"/>
      <c r="AC29" s="22"/>
      <c r="AD29" s="22"/>
    </row>
    <row r="30" spans="2:30" ht="18.75" customHeight="1" x14ac:dyDescent="0.25">
      <c r="B30" s="35"/>
      <c r="C30" s="25" t="str">
        <f t="shared" si="0"/>
        <v>A-1018-Gr. 80</v>
      </c>
      <c r="D30" s="18" t="s">
        <v>62</v>
      </c>
      <c r="E30" s="26" t="s">
        <v>63</v>
      </c>
      <c r="F30" s="20">
        <v>5625</v>
      </c>
      <c r="G30" s="27">
        <v>550</v>
      </c>
      <c r="H30" s="20">
        <v>6330</v>
      </c>
      <c r="I30" s="27">
        <v>620</v>
      </c>
      <c r="J30" s="22" t="s">
        <v>20</v>
      </c>
      <c r="K30" s="22" t="s">
        <v>20</v>
      </c>
      <c r="L30" s="22" t="s">
        <v>20</v>
      </c>
      <c r="M30" s="22" t="s">
        <v>20</v>
      </c>
      <c r="N30" s="22" t="s">
        <v>20</v>
      </c>
      <c r="O30" s="22" t="s">
        <v>20</v>
      </c>
      <c r="P30" s="22" t="s">
        <v>20</v>
      </c>
      <c r="Q30" s="22" t="s">
        <v>20</v>
      </c>
      <c r="R30" s="22" t="s">
        <v>20</v>
      </c>
      <c r="S30" s="22" t="s">
        <v>20</v>
      </c>
      <c r="T30" s="22" t="s">
        <v>20</v>
      </c>
      <c r="U30" s="22" t="s">
        <v>19</v>
      </c>
      <c r="V30" s="28" t="s">
        <v>19</v>
      </c>
      <c r="AB30" s="22"/>
      <c r="AC30" s="22"/>
      <c r="AD30" s="22"/>
    </row>
    <row r="31" spans="2:30" ht="18.75" customHeight="1" x14ac:dyDescent="0.25">
      <c r="B31" s="35"/>
      <c r="C31" s="25" t="str">
        <f t="shared" si="0"/>
        <v>A-618-Gr. I</v>
      </c>
      <c r="D31" s="18" t="s">
        <v>20</v>
      </c>
      <c r="E31" s="26" t="s">
        <v>64</v>
      </c>
      <c r="F31" s="20">
        <v>3515</v>
      </c>
      <c r="G31" s="27">
        <v>345</v>
      </c>
      <c r="H31" s="20">
        <v>4920</v>
      </c>
      <c r="I31" s="27">
        <v>485</v>
      </c>
      <c r="J31" s="22" t="s">
        <v>20</v>
      </c>
      <c r="K31" s="22" t="s">
        <v>20</v>
      </c>
      <c r="L31" s="22" t="s">
        <v>20</v>
      </c>
      <c r="M31" s="22" t="s">
        <v>20</v>
      </c>
      <c r="N31" s="22" t="s">
        <v>20</v>
      </c>
      <c r="O31" s="22" t="s">
        <v>20</v>
      </c>
      <c r="P31" s="22" t="s">
        <v>20</v>
      </c>
      <c r="Q31" s="22" t="s">
        <v>20</v>
      </c>
      <c r="R31" s="22" t="s">
        <v>19</v>
      </c>
      <c r="S31" s="22" t="s">
        <v>19</v>
      </c>
      <c r="T31" s="22" t="s">
        <v>20</v>
      </c>
      <c r="U31" s="22" t="s">
        <v>20</v>
      </c>
      <c r="V31" s="28" t="s">
        <v>20</v>
      </c>
      <c r="AB31" s="22"/>
      <c r="AC31" s="22"/>
      <c r="AD31" s="22"/>
    </row>
    <row r="32" spans="2:30" ht="18.75" customHeight="1" thickBot="1" x14ac:dyDescent="0.3">
      <c r="B32" s="36"/>
      <c r="C32" s="25" t="str">
        <f t="shared" si="0"/>
        <v>A-618-Gr. II</v>
      </c>
      <c r="D32" s="31" t="s">
        <v>20</v>
      </c>
      <c r="E32" s="32" t="s">
        <v>65</v>
      </c>
      <c r="F32" s="33">
        <v>3515</v>
      </c>
      <c r="G32" s="34">
        <v>345</v>
      </c>
      <c r="H32" s="33">
        <v>4920</v>
      </c>
      <c r="I32" s="34">
        <v>485</v>
      </c>
      <c r="J32" s="22" t="s">
        <v>20</v>
      </c>
      <c r="K32" s="22" t="s">
        <v>20</v>
      </c>
      <c r="L32" s="22" t="s">
        <v>20</v>
      </c>
      <c r="M32" s="22" t="s">
        <v>20</v>
      </c>
      <c r="N32" s="22" t="s">
        <v>20</v>
      </c>
      <c r="O32" s="22" t="s">
        <v>20</v>
      </c>
      <c r="P32" s="22" t="s">
        <v>20</v>
      </c>
      <c r="Q32" s="22" t="s">
        <v>20</v>
      </c>
      <c r="R32" s="22" t="s">
        <v>19</v>
      </c>
      <c r="S32" s="22" t="s">
        <v>19</v>
      </c>
      <c r="T32" s="22" t="s">
        <v>20</v>
      </c>
      <c r="U32" s="22" t="s">
        <v>20</v>
      </c>
      <c r="V32" s="28" t="s">
        <v>20</v>
      </c>
      <c r="AB32" s="22"/>
      <c r="AC32" s="22"/>
      <c r="AD32" s="22"/>
    </row>
    <row r="33" spans="2:30" ht="18.75" customHeight="1" thickTop="1" x14ac:dyDescent="0.25">
      <c r="B33" s="37" t="s">
        <v>66</v>
      </c>
      <c r="C33" s="17" t="str">
        <f t="shared" si="0"/>
        <v>A-618-Gr. III</v>
      </c>
      <c r="D33" s="18" t="s">
        <v>20</v>
      </c>
      <c r="E33" s="26" t="s">
        <v>67</v>
      </c>
      <c r="F33" s="20">
        <v>3515</v>
      </c>
      <c r="G33" s="27">
        <v>345</v>
      </c>
      <c r="H33" s="20">
        <v>4570</v>
      </c>
      <c r="I33" s="27">
        <v>450</v>
      </c>
      <c r="J33" s="22" t="s">
        <v>20</v>
      </c>
      <c r="K33" s="22" t="s">
        <v>20</v>
      </c>
      <c r="L33" s="22" t="s">
        <v>20</v>
      </c>
      <c r="M33" s="22" t="s">
        <v>20</v>
      </c>
      <c r="N33" s="22" t="s">
        <v>20</v>
      </c>
      <c r="O33" s="22" t="s">
        <v>20</v>
      </c>
      <c r="P33" s="22" t="s">
        <v>20</v>
      </c>
      <c r="Q33" s="22" t="s">
        <v>20</v>
      </c>
      <c r="R33" s="22" t="s">
        <v>19</v>
      </c>
      <c r="S33" s="22" t="s">
        <v>19</v>
      </c>
      <c r="T33" s="22" t="s">
        <v>20</v>
      </c>
      <c r="U33" s="22" t="s">
        <v>20</v>
      </c>
      <c r="V33" s="28" t="s">
        <v>20</v>
      </c>
      <c r="AB33" s="22"/>
      <c r="AC33" s="22"/>
      <c r="AD33" s="22"/>
    </row>
    <row r="34" spans="2:30" ht="18.75" customHeight="1" x14ac:dyDescent="0.25">
      <c r="B34" s="37"/>
      <c r="C34" s="25" t="str">
        <f t="shared" si="0"/>
        <v>A-242</v>
      </c>
      <c r="D34" s="18" t="s">
        <v>68</v>
      </c>
      <c r="E34" s="26" t="s">
        <v>69</v>
      </c>
      <c r="F34" s="20">
        <v>2955</v>
      </c>
      <c r="G34" s="27">
        <v>290</v>
      </c>
      <c r="H34" s="20">
        <v>4430</v>
      </c>
      <c r="I34" s="27">
        <v>435</v>
      </c>
      <c r="J34" s="22" t="s">
        <v>19</v>
      </c>
      <c r="K34" s="22" t="s">
        <v>20</v>
      </c>
      <c r="L34" s="22" t="s">
        <v>20</v>
      </c>
      <c r="M34" s="22" t="s">
        <v>20</v>
      </c>
      <c r="N34" s="22" t="s">
        <v>20</v>
      </c>
      <c r="O34" s="22" t="s">
        <v>20</v>
      </c>
      <c r="P34" s="22" t="s">
        <v>19</v>
      </c>
      <c r="Q34" s="22" t="s">
        <v>19</v>
      </c>
      <c r="R34" s="22" t="s">
        <v>20</v>
      </c>
      <c r="S34" s="22" t="s">
        <v>20</v>
      </c>
      <c r="T34" s="22" t="s">
        <v>20</v>
      </c>
      <c r="U34" s="22" t="s">
        <v>20</v>
      </c>
      <c r="V34" s="28" t="s">
        <v>20</v>
      </c>
      <c r="AB34" s="22"/>
      <c r="AC34" s="22"/>
      <c r="AD34" s="22"/>
    </row>
    <row r="35" spans="2:30" ht="18.75" customHeight="1" x14ac:dyDescent="0.25">
      <c r="B35" s="37"/>
      <c r="C35" s="25" t="str">
        <f t="shared" si="0"/>
        <v>A-242'</v>
      </c>
      <c r="D35" s="18" t="s">
        <v>70</v>
      </c>
      <c r="E35" s="26" t="s">
        <v>71</v>
      </c>
      <c r="F35" s="20">
        <v>3235</v>
      </c>
      <c r="G35" s="27">
        <v>315</v>
      </c>
      <c r="H35" s="20">
        <v>4710</v>
      </c>
      <c r="I35" s="27">
        <v>460</v>
      </c>
      <c r="J35" s="22" t="s">
        <v>19</v>
      </c>
      <c r="K35" s="22" t="s">
        <v>20</v>
      </c>
      <c r="L35" s="22" t="s">
        <v>20</v>
      </c>
      <c r="M35" s="22" t="s">
        <v>20</v>
      </c>
      <c r="N35" s="22" t="s">
        <v>20</v>
      </c>
      <c r="O35" s="22" t="s">
        <v>20</v>
      </c>
      <c r="P35" s="22" t="s">
        <v>19</v>
      </c>
      <c r="Q35" s="22" t="s">
        <v>19</v>
      </c>
      <c r="R35" s="22" t="s">
        <v>20</v>
      </c>
      <c r="S35" s="22" t="s">
        <v>20</v>
      </c>
      <c r="T35" s="22" t="s">
        <v>20</v>
      </c>
      <c r="U35" s="22" t="s">
        <v>20</v>
      </c>
      <c r="V35" s="28" t="s">
        <v>20</v>
      </c>
      <c r="AB35" s="22"/>
      <c r="AC35" s="22"/>
      <c r="AD35" s="22"/>
    </row>
    <row r="36" spans="2:30" ht="18.75" customHeight="1" x14ac:dyDescent="0.25">
      <c r="B36" s="37"/>
      <c r="C36" s="25" t="str">
        <f t="shared" si="0"/>
        <v>A-242''</v>
      </c>
      <c r="D36" s="18" t="s">
        <v>72</v>
      </c>
      <c r="E36" s="26" t="s">
        <v>73</v>
      </c>
      <c r="F36" s="20">
        <v>3515</v>
      </c>
      <c r="G36" s="27">
        <v>345</v>
      </c>
      <c r="H36" s="20">
        <v>4920</v>
      </c>
      <c r="I36" s="27">
        <v>485</v>
      </c>
      <c r="J36" s="22" t="s">
        <v>19</v>
      </c>
      <c r="K36" s="22" t="s">
        <v>19</v>
      </c>
      <c r="L36" s="22" t="s">
        <v>19</v>
      </c>
      <c r="M36" s="22" t="s">
        <v>19</v>
      </c>
      <c r="N36" s="22" t="s">
        <v>19</v>
      </c>
      <c r="O36" s="22" t="s">
        <v>19</v>
      </c>
      <c r="P36" s="22" t="s">
        <v>19</v>
      </c>
      <c r="Q36" s="22" t="s">
        <v>19</v>
      </c>
      <c r="R36" s="22" t="s">
        <v>20</v>
      </c>
      <c r="S36" s="22" t="s">
        <v>20</v>
      </c>
      <c r="T36" s="22" t="s">
        <v>20</v>
      </c>
      <c r="U36" s="22" t="s">
        <v>20</v>
      </c>
      <c r="V36" s="28" t="s">
        <v>20</v>
      </c>
      <c r="AB36" s="22"/>
      <c r="AC36" s="22"/>
      <c r="AD36" s="22"/>
    </row>
    <row r="37" spans="2:30" ht="18.75" customHeight="1" x14ac:dyDescent="0.25">
      <c r="B37" s="37"/>
      <c r="C37" s="25" t="str">
        <f t="shared" si="0"/>
        <v>A-588</v>
      </c>
      <c r="D37" s="18" t="s">
        <v>20</v>
      </c>
      <c r="E37" s="26" t="s">
        <v>74</v>
      </c>
      <c r="F37" s="20">
        <v>3515</v>
      </c>
      <c r="G37" s="27">
        <v>345</v>
      </c>
      <c r="H37" s="20">
        <v>4920</v>
      </c>
      <c r="I37" s="27">
        <v>485</v>
      </c>
      <c r="J37" s="22" t="s">
        <v>19</v>
      </c>
      <c r="K37" s="22" t="s">
        <v>19</v>
      </c>
      <c r="L37" s="22" t="s">
        <v>19</v>
      </c>
      <c r="M37" s="22" t="s">
        <v>19</v>
      </c>
      <c r="N37" s="22" t="s">
        <v>19</v>
      </c>
      <c r="O37" s="22" t="s">
        <v>19</v>
      </c>
      <c r="P37" s="22" t="s">
        <v>19</v>
      </c>
      <c r="Q37" s="22" t="s">
        <v>19</v>
      </c>
      <c r="R37" s="22" t="s">
        <v>20</v>
      </c>
      <c r="S37" s="22" t="s">
        <v>20</v>
      </c>
      <c r="T37" s="22" t="s">
        <v>20</v>
      </c>
      <c r="U37" s="22" t="s">
        <v>20</v>
      </c>
      <c r="V37" s="28" t="s">
        <v>20</v>
      </c>
      <c r="AB37" s="22"/>
      <c r="AC37" s="22"/>
      <c r="AD37" s="22"/>
    </row>
    <row r="38" spans="2:30" ht="18.75" customHeight="1" x14ac:dyDescent="0.25">
      <c r="B38" s="37"/>
      <c r="C38" s="25" t="str">
        <f t="shared" si="0"/>
        <v>A-606</v>
      </c>
      <c r="D38" s="18" t="s">
        <v>75</v>
      </c>
      <c r="E38" s="26" t="s">
        <v>76</v>
      </c>
      <c r="F38" s="20">
        <v>3515</v>
      </c>
      <c r="G38" s="27">
        <v>345</v>
      </c>
      <c r="H38" s="20">
        <v>4920</v>
      </c>
      <c r="I38" s="27">
        <v>485</v>
      </c>
      <c r="J38" s="22" t="s">
        <v>20</v>
      </c>
      <c r="K38" s="22" t="s">
        <v>20</v>
      </c>
      <c r="L38" s="22" t="s">
        <v>20</v>
      </c>
      <c r="M38" s="22" t="s">
        <v>20</v>
      </c>
      <c r="N38" s="22" t="s">
        <v>20</v>
      </c>
      <c r="O38" s="22" t="s">
        <v>20</v>
      </c>
      <c r="P38" s="22" t="s">
        <v>20</v>
      </c>
      <c r="Q38" s="22" t="s">
        <v>20</v>
      </c>
      <c r="R38" s="22" t="s">
        <v>20</v>
      </c>
      <c r="S38" s="22" t="s">
        <v>20</v>
      </c>
      <c r="T38" s="22" t="s">
        <v>20</v>
      </c>
      <c r="U38" s="22" t="s">
        <v>19</v>
      </c>
      <c r="V38" s="28" t="s">
        <v>19</v>
      </c>
      <c r="AB38" s="22"/>
      <c r="AC38" s="22"/>
      <c r="AD38" s="22"/>
    </row>
    <row r="39" spans="2:30" ht="18.75" customHeight="1" thickBot="1" x14ac:dyDescent="0.3">
      <c r="B39" s="37"/>
      <c r="C39" s="25" t="str">
        <f t="shared" si="0"/>
        <v>A-847</v>
      </c>
      <c r="D39" s="31" t="s">
        <v>20</v>
      </c>
      <c r="E39" s="32" t="s">
        <v>77</v>
      </c>
      <c r="F39" s="33">
        <v>3515</v>
      </c>
      <c r="G39" s="34">
        <v>345</v>
      </c>
      <c r="H39" s="33">
        <v>4920</v>
      </c>
      <c r="I39" s="34">
        <v>485</v>
      </c>
      <c r="J39" s="22" t="s">
        <v>20</v>
      </c>
      <c r="K39" s="22" t="s">
        <v>20</v>
      </c>
      <c r="L39" s="22" t="s">
        <v>20</v>
      </c>
      <c r="M39" s="22" t="s">
        <v>20</v>
      </c>
      <c r="N39" s="22" t="s">
        <v>20</v>
      </c>
      <c r="O39" s="22" t="s">
        <v>20</v>
      </c>
      <c r="P39" s="22" t="s">
        <v>20</v>
      </c>
      <c r="Q39" s="22" t="s">
        <v>20</v>
      </c>
      <c r="R39" s="22" t="s">
        <v>19</v>
      </c>
      <c r="S39" s="22" t="s">
        <v>19</v>
      </c>
      <c r="T39" s="22" t="s">
        <v>20</v>
      </c>
      <c r="U39" s="22" t="s">
        <v>20</v>
      </c>
      <c r="V39" s="28" t="s">
        <v>20</v>
      </c>
      <c r="AB39" s="22"/>
      <c r="AC39" s="22"/>
      <c r="AD39" s="22"/>
    </row>
    <row r="40" spans="2:30" ht="18.75" customHeight="1" thickTop="1" x14ac:dyDescent="0.25">
      <c r="B40" s="38" t="s">
        <v>78</v>
      </c>
      <c r="C40" s="17" t="str">
        <f t="shared" si="0"/>
        <v>A-514</v>
      </c>
      <c r="D40" s="18" t="s">
        <v>20</v>
      </c>
      <c r="E40" s="26" t="s">
        <v>79</v>
      </c>
      <c r="F40" s="20">
        <v>6330</v>
      </c>
      <c r="G40" s="27">
        <v>620</v>
      </c>
      <c r="H40" s="20">
        <v>7030</v>
      </c>
      <c r="I40" s="27">
        <v>690</v>
      </c>
      <c r="J40" s="22" t="s">
        <v>19</v>
      </c>
      <c r="K40" s="22" t="s">
        <v>20</v>
      </c>
      <c r="L40" s="22" t="s">
        <v>20</v>
      </c>
      <c r="M40" s="22" t="s">
        <v>20</v>
      </c>
      <c r="N40" s="22" t="s">
        <v>20</v>
      </c>
      <c r="O40" s="22" t="s">
        <v>20</v>
      </c>
      <c r="P40" s="22" t="s">
        <v>20</v>
      </c>
      <c r="Q40" s="22" t="s">
        <v>20</v>
      </c>
      <c r="R40" s="22" t="s">
        <v>20</v>
      </c>
      <c r="S40" s="22" t="s">
        <v>20</v>
      </c>
      <c r="T40" s="22" t="s">
        <v>20</v>
      </c>
      <c r="U40" s="22" t="s">
        <v>20</v>
      </c>
      <c r="V40" s="28" t="s">
        <v>20</v>
      </c>
      <c r="AB40" s="22"/>
      <c r="AC40" s="22"/>
      <c r="AD40" s="22"/>
    </row>
    <row r="41" spans="2:30" ht="18.75" customHeight="1" x14ac:dyDescent="0.25">
      <c r="B41" s="35"/>
      <c r="C41" s="25" t="str">
        <f t="shared" si="0"/>
        <v>A-514'</v>
      </c>
      <c r="D41" s="18" t="s">
        <v>20</v>
      </c>
      <c r="E41" s="26" t="s">
        <v>80</v>
      </c>
      <c r="F41" s="20">
        <v>7030</v>
      </c>
      <c r="G41" s="27">
        <v>690</v>
      </c>
      <c r="H41" s="20">
        <v>7735</v>
      </c>
      <c r="I41" s="27">
        <v>760</v>
      </c>
      <c r="J41" s="22" t="s">
        <v>19</v>
      </c>
      <c r="K41" s="22" t="s">
        <v>20</v>
      </c>
      <c r="L41" s="22" t="s">
        <v>20</v>
      </c>
      <c r="M41" s="22" t="s">
        <v>20</v>
      </c>
      <c r="N41" s="22" t="s">
        <v>20</v>
      </c>
      <c r="O41" s="22" t="s">
        <v>20</v>
      </c>
      <c r="P41" s="22" t="s">
        <v>20</v>
      </c>
      <c r="Q41" s="22" t="s">
        <v>20</v>
      </c>
      <c r="R41" s="22" t="s">
        <v>20</v>
      </c>
      <c r="S41" s="22" t="s">
        <v>20</v>
      </c>
      <c r="T41" s="22" t="s">
        <v>20</v>
      </c>
      <c r="U41" s="22" t="s">
        <v>20</v>
      </c>
      <c r="V41" s="28" t="s">
        <v>20</v>
      </c>
      <c r="AB41" s="22"/>
      <c r="AC41" s="22"/>
      <c r="AD41" s="22"/>
    </row>
    <row r="42" spans="2:30" ht="18.75" customHeight="1" x14ac:dyDescent="0.25">
      <c r="B42" s="35"/>
      <c r="C42" s="25" t="str">
        <f t="shared" si="0"/>
        <v>A-678</v>
      </c>
      <c r="D42" s="18" t="s">
        <v>20</v>
      </c>
      <c r="E42" s="26" t="s">
        <v>81</v>
      </c>
      <c r="F42" s="20">
        <v>3515</v>
      </c>
      <c r="G42" s="27">
        <v>345</v>
      </c>
      <c r="H42" s="20">
        <v>4920</v>
      </c>
      <c r="I42" s="27">
        <v>485</v>
      </c>
      <c r="J42" s="22" t="s">
        <v>19</v>
      </c>
      <c r="K42" s="22" t="s">
        <v>20</v>
      </c>
      <c r="L42" s="22" t="s">
        <v>20</v>
      </c>
      <c r="M42" s="22" t="s">
        <v>20</v>
      </c>
      <c r="N42" s="22" t="s">
        <v>20</v>
      </c>
      <c r="O42" s="22" t="s">
        <v>20</v>
      </c>
      <c r="P42" s="22" t="s">
        <v>20</v>
      </c>
      <c r="Q42" s="22" t="s">
        <v>20</v>
      </c>
      <c r="R42" s="22" t="s">
        <v>20</v>
      </c>
      <c r="S42" s="22" t="s">
        <v>20</v>
      </c>
      <c r="T42" s="22" t="s">
        <v>20</v>
      </c>
      <c r="U42" s="22" t="s">
        <v>20</v>
      </c>
      <c r="V42" s="28" t="s">
        <v>20</v>
      </c>
      <c r="AB42" s="22"/>
      <c r="AC42" s="22"/>
      <c r="AD42" s="22"/>
    </row>
    <row r="43" spans="2:30" ht="18.75" customHeight="1" thickBot="1" x14ac:dyDescent="0.3">
      <c r="B43" s="36"/>
      <c r="C43" s="30" t="str">
        <f t="shared" si="0"/>
        <v>A-852</v>
      </c>
      <c r="D43" s="31" t="s">
        <v>20</v>
      </c>
      <c r="E43" s="32" t="s">
        <v>82</v>
      </c>
      <c r="F43" s="33">
        <v>4920</v>
      </c>
      <c r="G43" s="34">
        <v>485</v>
      </c>
      <c r="H43" s="33">
        <v>6330</v>
      </c>
      <c r="I43" s="34">
        <v>620</v>
      </c>
      <c r="J43" s="39" t="s">
        <v>19</v>
      </c>
      <c r="K43" s="40" t="s">
        <v>20</v>
      </c>
      <c r="L43" s="40" t="s">
        <v>20</v>
      </c>
      <c r="M43" s="40" t="s">
        <v>20</v>
      </c>
      <c r="N43" s="40" t="s">
        <v>20</v>
      </c>
      <c r="O43" s="40" t="s">
        <v>20</v>
      </c>
      <c r="P43" s="40" t="s">
        <v>20</v>
      </c>
      <c r="Q43" s="40" t="s">
        <v>20</v>
      </c>
      <c r="R43" s="40" t="s">
        <v>20</v>
      </c>
      <c r="S43" s="40" t="s">
        <v>20</v>
      </c>
      <c r="T43" s="40" t="s">
        <v>20</v>
      </c>
      <c r="U43" s="40" t="s">
        <v>20</v>
      </c>
      <c r="V43" s="41" t="s">
        <v>20</v>
      </c>
      <c r="AB43" s="22"/>
      <c r="AC43" s="22"/>
      <c r="AD43" s="22"/>
    </row>
    <row r="44" spans="2:30" ht="18.75" customHeight="1" thickTop="1" x14ac:dyDescent="0.25">
      <c r="AB44" s="22"/>
      <c r="AC44" s="22"/>
      <c r="AD44" s="22"/>
    </row>
    <row r="45" spans="2:30" ht="18.75" customHeight="1" x14ac:dyDescent="0.25">
      <c r="B45" s="1" t="s">
        <v>5</v>
      </c>
      <c r="AA45" s="22"/>
      <c r="AB45" s="22"/>
      <c r="AC45" s="22"/>
      <c r="AD45" s="22"/>
    </row>
    <row r="46" spans="2:30" ht="18.75" customHeight="1" x14ac:dyDescent="0.25">
      <c r="B46" s="1" t="s">
        <v>4</v>
      </c>
      <c r="AB46" s="22"/>
      <c r="AC46" s="22"/>
      <c r="AD46" s="22"/>
    </row>
    <row r="47" spans="2:30" ht="18.75" customHeight="1" x14ac:dyDescent="0.25">
      <c r="AB47" s="22"/>
      <c r="AC47" s="22"/>
      <c r="AD47" s="22"/>
    </row>
    <row r="48" spans="2:30" ht="18.75" customHeight="1" x14ac:dyDescent="0.25">
      <c r="AB48" s="22"/>
      <c r="AC48" s="22"/>
      <c r="AD48" s="22"/>
    </row>
    <row r="49" spans="28:30" ht="18.75" customHeight="1" x14ac:dyDescent="0.25">
      <c r="AB49" s="22"/>
      <c r="AC49" s="22"/>
      <c r="AD49" s="22"/>
    </row>
    <row r="50" spans="28:30" ht="18.75" customHeight="1" x14ac:dyDescent="0.25">
      <c r="AB50" s="22"/>
      <c r="AC50" s="22"/>
      <c r="AD50" s="22"/>
    </row>
    <row r="51" spans="28:30" ht="18.75" customHeight="1" x14ac:dyDescent="0.25">
      <c r="AB51" s="22"/>
      <c r="AC51" s="22"/>
      <c r="AD51" s="22"/>
    </row>
    <row r="52" spans="28:30" ht="18.75" customHeight="1" x14ac:dyDescent="0.25">
      <c r="AB52" s="22"/>
      <c r="AC52" s="22"/>
      <c r="AD52" s="22"/>
    </row>
    <row r="53" spans="28:30" ht="18.75" customHeight="1" x14ac:dyDescent="0.25">
      <c r="AB53" s="22"/>
      <c r="AC53" s="22"/>
      <c r="AD53" s="22"/>
    </row>
    <row r="54" spans="28:30" ht="18.75" customHeight="1" x14ac:dyDescent="0.25">
      <c r="AB54" s="22"/>
      <c r="AC54" s="22"/>
      <c r="AD54" s="22"/>
    </row>
    <row r="55" spans="28:30" ht="18.75" customHeight="1" x14ac:dyDescent="0.25">
      <c r="AB55" s="22"/>
      <c r="AC55" s="22"/>
      <c r="AD55" s="22"/>
    </row>
    <row r="56" spans="28:30" ht="18.75" customHeight="1" x14ac:dyDescent="0.25">
      <c r="AB56" s="22"/>
      <c r="AC56" s="22"/>
      <c r="AD56" s="22"/>
    </row>
    <row r="57" spans="28:30" ht="18.75" customHeight="1" x14ac:dyDescent="0.25">
      <c r="AB57" s="22"/>
      <c r="AC57" s="22"/>
      <c r="AD57" s="22"/>
    </row>
    <row r="58" spans="28:30" ht="18.75" customHeight="1" x14ac:dyDescent="0.25">
      <c r="AB58" s="22"/>
      <c r="AC58" s="22"/>
      <c r="AD58" s="22"/>
    </row>
    <row r="59" spans="28:30" ht="18.75" customHeight="1" x14ac:dyDescent="0.25">
      <c r="AB59" s="22"/>
      <c r="AC59" s="22"/>
      <c r="AD59" s="22"/>
    </row>
    <row r="60" spans="28:30" ht="18.75" customHeight="1" x14ac:dyDescent="0.25">
      <c r="AB60" s="22"/>
      <c r="AC60" s="22"/>
      <c r="AD60" s="22"/>
    </row>
    <row r="61" spans="28:30" ht="18.75" customHeight="1" x14ac:dyDescent="0.25">
      <c r="AB61" s="22"/>
      <c r="AC61" s="22"/>
      <c r="AD61" s="22"/>
    </row>
    <row r="62" spans="28:30" ht="18.75" customHeight="1" x14ac:dyDescent="0.25">
      <c r="AB62" s="22"/>
      <c r="AC62" s="22"/>
      <c r="AD62" s="22"/>
    </row>
    <row r="63" spans="28:30" ht="18.75" customHeight="1" x14ac:dyDescent="0.25">
      <c r="AB63" s="22"/>
      <c r="AC63" s="22"/>
      <c r="AD63" s="22"/>
    </row>
    <row r="64" spans="28:30" ht="18.75" customHeight="1" x14ac:dyDescent="0.25">
      <c r="AB64" s="22"/>
      <c r="AC64" s="22"/>
      <c r="AD64" s="22"/>
    </row>
    <row r="65" spans="28:30" ht="18.75" customHeight="1" x14ac:dyDescent="0.25">
      <c r="AB65" s="22"/>
      <c r="AC65" s="22"/>
      <c r="AD65" s="22"/>
    </row>
    <row r="66" spans="28:30" ht="18.75" customHeight="1" x14ac:dyDescent="0.25">
      <c r="AB66" s="22"/>
      <c r="AC66" s="22"/>
      <c r="AD66" s="22"/>
    </row>
    <row r="67" spans="28:30" ht="18.75" customHeight="1" x14ac:dyDescent="0.25">
      <c r="AB67" s="22"/>
      <c r="AC67" s="22"/>
      <c r="AD67" s="22"/>
    </row>
    <row r="68" spans="28:30" ht="18.75" customHeight="1" x14ac:dyDescent="0.25">
      <c r="AB68" s="22"/>
      <c r="AC68" s="22"/>
      <c r="AD68" s="22"/>
    </row>
    <row r="69" spans="28:30" ht="18.75" customHeight="1" x14ac:dyDescent="0.25">
      <c r="AB69" s="22"/>
      <c r="AC69" s="22"/>
      <c r="AD69" s="22"/>
    </row>
    <row r="70" spans="28:30" ht="18.75" customHeight="1" x14ac:dyDescent="0.25">
      <c r="AB70" s="22"/>
      <c r="AC70" s="22"/>
      <c r="AD70" s="22"/>
    </row>
    <row r="71" spans="28:30" ht="18.75" customHeight="1" x14ac:dyDescent="0.25"/>
    <row r="72" spans="28:30" ht="18.75" customHeight="1" x14ac:dyDescent="0.25"/>
    <row r="73" spans="28:30" ht="18.75" customHeight="1" x14ac:dyDescent="0.25"/>
    <row r="74" spans="28:30" ht="18.75" customHeight="1" x14ac:dyDescent="0.25"/>
    <row r="75" spans="28:30" ht="18.75" customHeight="1" x14ac:dyDescent="0.25"/>
    <row r="76" spans="28:30" ht="18.75" customHeight="1" x14ac:dyDescent="0.25"/>
    <row r="77" spans="28:30" ht="18.75" customHeight="1" x14ac:dyDescent="0.25"/>
  </sheetData>
  <mergeCells count="10">
    <mergeCell ref="B5:B14"/>
    <mergeCell ref="B15:B32"/>
    <mergeCell ref="B33:B39"/>
    <mergeCell ref="B40:B43"/>
    <mergeCell ref="B3:B4"/>
    <mergeCell ref="C3:E3"/>
    <mergeCell ref="F3:I3"/>
    <mergeCell ref="J3:V3"/>
    <mergeCell ref="F4:G4"/>
    <mergeCell ref="H4:I4"/>
  </mergeCells>
  <dataValidations count="1">
    <dataValidation type="list" allowBlank="1" showInputMessage="1" showErrorMessage="1" promptTitle="Designacion" prompt="_x000a_Selecciona la norma." sqref="C4" xr:uid="{01745B06-FCAC-4B6C-925F-45F68EF8C7AD}">
      <formula1>$B$45:$B$46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Balderas</dc:creator>
  <cp:lastModifiedBy>Angel Balderas</cp:lastModifiedBy>
  <dcterms:created xsi:type="dcterms:W3CDTF">2026-08-21T00:19:02Z</dcterms:created>
  <dcterms:modified xsi:type="dcterms:W3CDTF">2026-08-21T00:19:13Z</dcterms:modified>
</cp:coreProperties>
</file>